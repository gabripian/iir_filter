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Users\gabri\OneDrive\Desktop\lab_electronics\project1\"/>
    </mc:Choice>
  </mc:AlternateContent>
  <xr:revisionPtr revIDLastSave="0" documentId="13_ncr:1_{573573F3-C609-4D56-9CC6-97614B819543}" xr6:coauthVersionLast="47" xr6:coauthVersionMax="47" xr10:uidLastSave="{00000000-0000-0000-0000-000000000000}"/>
  <bookViews>
    <workbookView xWindow="-110" yWindow="-110" windowWidth="19420" windowHeight="10300" xr2:uid="{9F6DF974-98DD-4C44-BC0C-B88BB7F5D413}"/>
  </bookViews>
  <sheets>
    <sheet name="Foglio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" i="1" l="1"/>
  <c r="J7" i="1" s="1"/>
  <c r="J8" i="1" s="1"/>
  <c r="J9" i="1" s="1"/>
  <c r="J10" i="1" s="1"/>
  <c r="J11" i="1" s="1"/>
  <c r="J12" i="1" s="1"/>
  <c r="L6" i="1" a="1"/>
  <c r="L8" i="1" a="1"/>
  <c r="L5" i="1" a="1"/>
  <c r="L10" i="1" a="1"/>
  <c r="L9" i="1" a="1"/>
  <c r="L11" i="1" a="1"/>
  <c r="L12" i="1" a="1"/>
  <c r="L12" i="1" l="1"/>
  <c r="J13" i="1"/>
  <c r="L11" i="1"/>
  <c r="L10" i="1"/>
  <c r="L9" i="1"/>
  <c r="L8" i="1"/>
  <c r="L6" i="1"/>
  <c r="L5" i="1"/>
  <c r="L13" i="1" a="1"/>
  <c r="L7" i="1" a="1"/>
  <c r="L13" i="1" l="1"/>
  <c r="J14" i="1"/>
  <c r="L7" i="1"/>
  <c r="L14" i="1" a="1"/>
  <c r="L14" i="1" l="1"/>
  <c r="J15" i="1"/>
  <c r="L15" i="1" a="1"/>
  <c r="L15" i="1" l="1"/>
  <c r="J16" i="1"/>
  <c r="L16" i="1" a="1"/>
  <c r="L16" i="1" l="1"/>
  <c r="J17" i="1"/>
  <c r="L17" i="1" a="1"/>
  <c r="L17" i="1" l="1"/>
  <c r="J18" i="1"/>
  <c r="L18" i="1" a="1"/>
  <c r="L18" i="1" l="1"/>
  <c r="J19" i="1"/>
  <c r="L19" i="1" a="1"/>
  <c r="L19" i="1" l="1"/>
  <c r="J20" i="1"/>
  <c r="L20" i="1" a="1"/>
  <c r="L20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<sst xmlns="http://schemas.openxmlformats.org/spreadsheetml/2006/main" count="7" uniqueCount="7">
  <si>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x</t>
  </si>
  <si>
    <t>x_valid</t>
  </si>
  <si>
    <t>y_valid</t>
  </si>
  <si>
    <t>buffer(0)</t>
  </si>
  <si>
    <t>buffer(4)</t>
  </si>
  <si>
    <t>y</t>
  </si>
  <si>
    <t>y binary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</si>
</sst>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5" xfId="0" applyFont="1" applyBorder="1"/>
    <xf numFmtId="0" fontId="1" fillId="0" borderId="1" xfId="0" applyFont="1" applyBorder="1"/>
    <xf numFmtId="0" fontId="1" fillId="0" borderId="6" xfId="0" applyFont="1" applyBorder="1"/>
  </cellXfs>
  <cellStyles count="1">
    <cellStyle name="Normale" xfId="0" builtinId="0"/>
  </cellStyles>
  <dxfs count="12"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058B23-099C-4A32-B2CC-60B04A7A72A6}" name="Tabella2" displayName="Tabella2" ref="E4:J20" totalsRowShown="0" headerRowDxfId="11" dataDxfId="9" headerRowBorderDxfId="10" tableBorderDxfId="8" totalsRowBorderDxfId="7">
  <autoFilter ref="E4:J20" xr:uid="{87058B23-099C-4A32-B2CC-60B04A7A72A6}"/>
  <tableColumns count="6">
    <tableColumn id="1" xr3:uid="{26C8A4BD-98E4-4DE4-B945-03591D7A2587}" name="x" dataDxfId="6"/>
    <tableColumn id="2" xr3:uid="{BDDF9161-01B5-460E-ADD5-583D58BA4271}" name="x_valid" dataDxfId="5"/>
    <tableColumn id="3" xr3:uid="{85B1FABA-B944-4DE4-818D-0C57B08B87F8}" name="y_valid" dataDxfId="4"/>
    <tableColumn id="4" xr3:uid="{A2A94D52-6F20-4295-9DF6-A6E75A06007D}" name="buffer(0)" dataDxfId="3"/>
    <tableColumn id="5" xr3:uid="{37611EC8-09B1-48AF-8F52-A9912A2E2B1C}" name="buffer(4)" dataDxfId="2"/>
    <tableColumn id="7" xr3:uid="{8B79116F-5D74-4FD4-828D-77E400E2BF87}" name="y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FF123F8-8355-40FB-BE69-C1A2390494DB}" name="Tabella3" displayName="Tabella3" ref="L4:L20" totalsRowShown="0" headerRowDxfId="0">
  <autoFilter ref="L4:L20" xr:uid="{0FF123F8-8355-40FB-BE69-C1A2390494DB}"/>
  <tableColumns count="1">
    <tableColumn id="1" xr3:uid="{54A285DD-600B-49BF-8719-0548708CA580}" name="y bina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2F64B-29AB-4E75-8E5A-BA64E0433400}">
  <sheetPr codeName="Foglio1"/>
  <dimension ref="E4:O20"/>
  <sheetViews>
    <sheetView tabSelected="1" workbookViewId="0">
      <selection activeCell="M15" sqref="M15"/>
    </sheetView>
  </sheetViews>
  <sheetFormatPr defaultRowHeight="14.5" x14ac:dyDescent="0.35"/>
  <cols>
    <col min="6" max="6" width="13.08984375" customWidth="1"/>
    <col min="7" max="7" width="12.81640625" customWidth="1"/>
    <col min="8" max="8" width="14" customWidth="1"/>
    <col min="9" max="9" width="13.26953125" customWidth="1"/>
    <col min="10" max="10" width="17.08984375" customWidth="1"/>
    <col min="11" max="11" width="12.81640625" customWidth="1"/>
    <col min="12" max="12" width="17.90625" customWidth="1"/>
    <col min="13" max="13" width="24.453125" customWidth="1"/>
    <col min="14" max="14" width="18.90625" customWidth="1"/>
    <col min="15" max="15" width="14.7265625" customWidth="1"/>
  </cols>
  <sheetData>
    <row r="4" spans="5:15" x14ac:dyDescent="0.35">
      <c r="E4" s="1" t="s">
        <v>0</v>
      </c>
      <c r="F4" s="2" t="s">
        <v>1</v>
      </c>
      <c r="G4" s="2" t="s">
        <v>2</v>
      </c>
      <c r="H4" s="2" t="s">
        <v>3</v>
      </c>
      <c r="I4" s="2" t="s">
        <v>4</v>
      </c>
      <c r="J4" s="3" t="s">
        <v>5</v>
      </c>
      <c r="L4" s="4" t="s">
        <v>6</v>
      </c>
      <c r="O4" s="4"/>
    </row>
    <row r="5" spans="5:15" x14ac:dyDescent="0.35">
      <c r="E5" s="6">
        <v>32767</v>
      </c>
      <c r="F5" s="7">
        <v>1</v>
      </c>
      <c r="G5" s="7">
        <v>0</v>
      </c>
      <c r="H5" s="7">
        <v>0</v>
      </c>
      <c r="I5" s="7">
        <v>0</v>
      </c>
      <c r="J5" s="8">
        <v>0</v>
      </c>
      <c r="L5" s="5" t="str" cm="1">
        <f t="array" ref="L5">DECIMALEABINARIO(Tabella2[[#This Row],[y]])</f>
        <v>0000000000000000</v>
      </c>
    </row>
    <row r="6" spans="5:15" x14ac:dyDescent="0.35">
      <c r="E6" s="6">
        <v>1</v>
      </c>
      <c r="F6" s="7">
        <v>0</v>
      </c>
      <c r="G6" s="7">
        <v>0</v>
      </c>
      <c r="H6" s="7">
        <v>32767</v>
      </c>
      <c r="I6" s="7">
        <v>0</v>
      </c>
      <c r="J6" s="8">
        <f t="shared" ref="J6:J20" si="0">IF(F5=0, J5, IF(G6=0,J5,J5-TRUNC((H5)/4)+TRUNC((I5)/4)))</f>
        <v>0</v>
      </c>
      <c r="L6" s="5" t="str" cm="1">
        <f t="array" ref="L6">DECIMALEABINARIO(Tabella2[[#This Row],[y]])</f>
        <v>0000000000000000</v>
      </c>
    </row>
    <row r="7" spans="5:15" x14ac:dyDescent="0.35">
      <c r="E7" s="6">
        <v>2602</v>
      </c>
      <c r="F7" s="7">
        <v>1</v>
      </c>
      <c r="G7" s="7">
        <v>0</v>
      </c>
      <c r="H7" s="7">
        <v>32767</v>
      </c>
      <c r="I7" s="7">
        <v>0</v>
      </c>
      <c r="J7" s="8">
        <f t="shared" si="0"/>
        <v>0</v>
      </c>
      <c r="L7" s="5" t="str" cm="1">
        <f t="array" ref="L7">DECIMALEABINARIO(Tabella2[[#This Row],[y]])</f>
        <v>0000000000000000</v>
      </c>
    </row>
    <row r="8" spans="5:15" x14ac:dyDescent="0.35">
      <c r="E8" s="6">
        <v>10922</v>
      </c>
      <c r="F8" s="7">
        <v>1</v>
      </c>
      <c r="G8" s="7">
        <v>0</v>
      </c>
      <c r="H8" s="7">
        <v>2602</v>
      </c>
      <c r="I8" s="7">
        <v>0</v>
      </c>
      <c r="J8" s="8">
        <f t="shared" si="0"/>
        <v>0</v>
      </c>
      <c r="L8" s="5" t="str" cm="1">
        <f t="array" ref="L8">DECIMALEABINARIO(Tabella2[[#This Row],[y]])</f>
        <v>0000000000000000</v>
      </c>
    </row>
    <row r="9" spans="5:15" x14ac:dyDescent="0.35">
      <c r="E9" s="6">
        <v>3276</v>
      </c>
      <c r="F9" s="7">
        <v>1</v>
      </c>
      <c r="G9" s="7">
        <v>0</v>
      </c>
      <c r="H9" s="7">
        <v>10922</v>
      </c>
      <c r="I9" s="7">
        <v>0</v>
      </c>
      <c r="J9" s="8">
        <f t="shared" si="0"/>
        <v>0</v>
      </c>
      <c r="L9" s="5" t="str" cm="1">
        <f t="array" ref="L9">DECIMALEABINARIO(Tabella2[[#This Row],[y]])</f>
        <v>0000000000000000</v>
      </c>
    </row>
    <row r="10" spans="5:15" x14ac:dyDescent="0.35">
      <c r="E10" s="6">
        <v>11334</v>
      </c>
      <c r="F10" s="7">
        <v>1</v>
      </c>
      <c r="G10" s="7">
        <v>0</v>
      </c>
      <c r="H10" s="7">
        <v>3276</v>
      </c>
      <c r="I10" s="7">
        <v>0</v>
      </c>
      <c r="J10" s="8">
        <f t="shared" si="0"/>
        <v>0</v>
      </c>
      <c r="L10" s="5" t="str" cm="1">
        <f t="array" ref="L10">DECIMALEABINARIO(Tabella2[[#This Row],[y]])</f>
        <v>0000000000000000</v>
      </c>
    </row>
    <row r="11" spans="5:15" x14ac:dyDescent="0.35">
      <c r="E11" s="6">
        <v>11335</v>
      </c>
      <c r="F11" s="7">
        <v>1</v>
      </c>
      <c r="G11" s="7">
        <v>0</v>
      </c>
      <c r="H11" s="7">
        <v>11334</v>
      </c>
      <c r="I11" s="7">
        <v>32767</v>
      </c>
      <c r="J11" s="8">
        <f t="shared" si="0"/>
        <v>0</v>
      </c>
      <c r="L11" s="5" t="str" cm="1">
        <f t="array" ref="L11">DECIMALEABINARIO(Tabella2[[#This Row],[y]])</f>
        <v>0000000000000000</v>
      </c>
    </row>
    <row r="12" spans="5:15" x14ac:dyDescent="0.35">
      <c r="E12" s="6">
        <v>10</v>
      </c>
      <c r="F12" s="7">
        <v>1</v>
      </c>
      <c r="G12" s="7">
        <v>1</v>
      </c>
      <c r="H12" s="7">
        <v>11335</v>
      </c>
      <c r="I12" s="7">
        <v>2602</v>
      </c>
      <c r="J12" s="8">
        <f t="shared" si="0"/>
        <v>5358</v>
      </c>
      <c r="L12" s="5" t="str" cm="1">
        <f t="array" ref="L12">DECIMALEABINARIO(Tabella2[[#This Row],[y]])</f>
        <v>0001010011101110</v>
      </c>
    </row>
    <row r="13" spans="5:15" x14ac:dyDescent="0.35">
      <c r="E13" s="6">
        <v>32</v>
      </c>
      <c r="F13" s="7">
        <v>1</v>
      </c>
      <c r="G13" s="7">
        <v>1</v>
      </c>
      <c r="H13" s="7">
        <v>10</v>
      </c>
      <c r="I13" s="7">
        <v>10922</v>
      </c>
      <c r="J13" s="8">
        <f t="shared" si="0"/>
        <v>3175</v>
      </c>
      <c r="L13" s="5" t="str" cm="1">
        <f t="array" ref="L13">DECIMALEABINARIO(Tabella2[[#This Row],[y]])</f>
        <v>0000110001100111</v>
      </c>
    </row>
    <row r="14" spans="5:15" x14ac:dyDescent="0.35">
      <c r="E14" s="6">
        <v>2</v>
      </c>
      <c r="F14" s="7">
        <v>0</v>
      </c>
      <c r="G14" s="7">
        <v>1</v>
      </c>
      <c r="H14" s="7">
        <v>32</v>
      </c>
      <c r="I14" s="7">
        <v>3276</v>
      </c>
      <c r="J14" s="8">
        <f t="shared" si="0"/>
        <v>5903</v>
      </c>
      <c r="L14" s="5" t="str" cm="1">
        <f t="array" ref="L14">DECIMALEABINARIO(Tabella2[[#This Row],[y]])</f>
        <v>0001011100001111</v>
      </c>
    </row>
    <row r="15" spans="5:15" x14ac:dyDescent="0.35">
      <c r="E15" s="6">
        <v>3</v>
      </c>
      <c r="F15" s="7">
        <v>0</v>
      </c>
      <c r="G15" s="7">
        <v>0</v>
      </c>
      <c r="H15" s="7">
        <v>32</v>
      </c>
      <c r="I15" s="7">
        <v>3276</v>
      </c>
      <c r="J15" s="8">
        <f t="shared" si="0"/>
        <v>5903</v>
      </c>
      <c r="L15" s="5" t="str" cm="1">
        <f t="array" ref="L15">DECIMALEABINARIO(Tabella2[[#This Row],[y]])</f>
        <v>0001011100001111</v>
      </c>
    </row>
    <row r="16" spans="5:15" x14ac:dyDescent="0.35">
      <c r="E16" s="6">
        <v>70</v>
      </c>
      <c r="F16" s="7">
        <v>1</v>
      </c>
      <c r="G16" s="7">
        <v>0</v>
      </c>
      <c r="H16" s="7">
        <v>32</v>
      </c>
      <c r="I16" s="7">
        <v>3276</v>
      </c>
      <c r="J16" s="8">
        <f t="shared" si="0"/>
        <v>5903</v>
      </c>
      <c r="L16" s="5" t="str" cm="1">
        <f t="array" ref="L16">DECIMALEABINARIO(Tabella2[[#This Row],[y]])</f>
        <v>0001011100001111</v>
      </c>
    </row>
    <row r="17" spans="5:12" x14ac:dyDescent="0.35">
      <c r="E17" s="6">
        <v>12</v>
      </c>
      <c r="F17" s="7">
        <v>1</v>
      </c>
      <c r="G17" s="7">
        <v>1</v>
      </c>
      <c r="H17" s="7">
        <v>70</v>
      </c>
      <c r="I17" s="7">
        <v>11334</v>
      </c>
      <c r="J17" s="8">
        <f t="shared" si="0"/>
        <v>6714</v>
      </c>
      <c r="L17" s="5" t="str" cm="1">
        <f t="array" ref="L17">DECIMALEABINARIO(Tabella2[[#This Row],[y]])</f>
        <v>0001101000111010</v>
      </c>
    </row>
    <row r="18" spans="5:12" x14ac:dyDescent="0.35">
      <c r="E18" s="6">
        <v>4</v>
      </c>
      <c r="F18" s="7">
        <v>1</v>
      </c>
      <c r="G18" s="7">
        <v>1</v>
      </c>
      <c r="H18" s="7">
        <v>12</v>
      </c>
      <c r="I18" s="7">
        <v>11335</v>
      </c>
      <c r="J18" s="8">
        <f t="shared" si="0"/>
        <v>9530</v>
      </c>
      <c r="L18" s="5" t="str" cm="1">
        <f t="array" ref="L18">DECIMALEABINARIO(Tabella2[[#This Row],[y]])</f>
        <v>0010010100111010</v>
      </c>
    </row>
    <row r="19" spans="5:12" x14ac:dyDescent="0.35">
      <c r="E19" s="6">
        <v>4</v>
      </c>
      <c r="F19" s="7">
        <v>1</v>
      </c>
      <c r="G19" s="7">
        <v>1</v>
      </c>
      <c r="H19" s="7">
        <v>4</v>
      </c>
      <c r="I19" s="7">
        <v>10</v>
      </c>
      <c r="J19" s="8">
        <f t="shared" si="0"/>
        <v>12360</v>
      </c>
      <c r="L19" s="5" t="str" cm="1">
        <f t="array" ref="L19">DECIMALEABINARIO(Tabella2[[#This Row],[y]])</f>
        <v>0011000001001000</v>
      </c>
    </row>
    <row r="20" spans="5:12" x14ac:dyDescent="0.35">
      <c r="E20" s="6">
        <v>4</v>
      </c>
      <c r="F20" s="7">
        <v>1</v>
      </c>
      <c r="G20" s="7">
        <v>1</v>
      </c>
      <c r="H20" s="7">
        <v>4</v>
      </c>
      <c r="I20" s="7">
        <v>32</v>
      </c>
      <c r="J20" s="8">
        <f t="shared" si="0"/>
        <v>12361</v>
      </c>
      <c r="L20" s="5" t="str" cm="1">
        <f t="array" ref="L20">DECIMALEABINARIO(Tabella2[[#This Row],[y]])</f>
        <v>0011000001001001</v>
      </c>
    </row>
  </sheetData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C36FF327E8D447965078DF29CAE1C7" ma:contentTypeVersion="14" ma:contentTypeDescription="Create a new document." ma:contentTypeScope="" ma:versionID="0199c78ab26b242178861ad13a7f3af9">
  <xsd:schema xmlns:xsd="http://www.w3.org/2001/XMLSchema" xmlns:xs="http://www.w3.org/2001/XMLSchema" xmlns:p="http://schemas.microsoft.com/office/2006/metadata/properties" xmlns:ns3="f2eb9a76-2405-4626-bf2d-af75b1274cc1" xmlns:ns4="053b518a-7b86-4088-900e-f1fed751bff7" targetNamespace="http://schemas.microsoft.com/office/2006/metadata/properties" ma:root="true" ma:fieldsID="fad4c837fad600fd948f0a3cbcdc3acf" ns3:_="" ns4:_="">
    <xsd:import namespace="f2eb9a76-2405-4626-bf2d-af75b1274cc1"/>
    <xsd:import namespace="053b518a-7b86-4088-900e-f1fed751bff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eb9a76-2405-4626-bf2d-af75b1274c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7" nillable="true" ma:displayName="_activity" ma:hidden="true" ma:internalName="_activity">
      <xsd:simpleType>
        <xsd:restriction base="dms:Note"/>
      </xsd:simpleType>
    </xsd:element>
    <xsd:element name="MediaServiceSystemTags" ma:index="18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3b518a-7b86-4088-900e-f1fed751bff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2eb9a76-2405-4626-bf2d-af75b1274cc1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FA5AF2C-0014-456F-B9F9-D6E0DA6F551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2eb9a76-2405-4626-bf2d-af75b1274cc1"/>
    <ds:schemaRef ds:uri="053b518a-7b86-4088-900e-f1fed751bff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DEA2F10-D322-40AA-8283-A6229A2C3794}">
  <ds:schemaRefs>
    <ds:schemaRef ds:uri="http://schemas.microsoft.com/office/2006/metadata/properties"/>
    <ds:schemaRef ds:uri="http://purl.org/dc/terms/"/>
    <ds:schemaRef ds:uri="http://schemas.microsoft.com/office/infopath/2007/PartnerControls"/>
    <ds:schemaRef ds:uri="http://purl.org/dc/dcmitype/"/>
    <ds:schemaRef ds:uri="http://purl.org/dc/elements/1.1/"/>
    <ds:schemaRef ds:uri="f2eb9a76-2405-4626-bf2d-af75b1274cc1"/>
    <ds:schemaRef ds:uri="http://schemas.microsoft.com/office/2006/documentManagement/types"/>
    <ds:schemaRef ds:uri="http://schemas.openxmlformats.org/package/2006/metadata/core-properties"/>
    <ds:schemaRef ds:uri="053b518a-7b86-4088-900e-f1fed751bff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4D87679C-EF6F-4175-8950-82853F11158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Gabriele Pianigiani</dc:creator>
  <cp:lastModifiedBy>Gabriele Pianigiani</cp:lastModifiedBy>
  <dcterms:created xsi:type="dcterms:W3CDTF">2024-03-30T20:56:00Z</dcterms:created>
  <dcterms:modified xsi:type="dcterms:W3CDTF">2024-04-10T16:30:08Z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0x01010080C36FF327E8D447965078DF29CAE1C7</vt:lpwstr>
  </property>
</Properties>
</file>